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roOq UNIVERSITY\3rd Semester\DSA\Project\Trackers\"/>
    </mc:Choice>
  </mc:AlternateContent>
  <xr:revisionPtr revIDLastSave="0" documentId="13_ncr:1_{D30D0728-C30E-4197-8444-571BDF5A675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A18" i="1"/>
  <c r="A19" i="1"/>
  <c r="A13" i="1"/>
  <c r="G17" i="1"/>
  <c r="G16" i="1"/>
  <c r="G15" i="1"/>
  <c r="G14" i="1"/>
  <c r="G3" i="1"/>
  <c r="A7" i="1"/>
  <c r="A8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7" i="1"/>
  <c r="A16" i="1"/>
  <c r="A15" i="1"/>
  <c r="A14" i="1"/>
  <c r="A12" i="1"/>
  <c r="A11" i="1"/>
  <c r="A10" i="1"/>
  <c r="A9" i="1"/>
  <c r="A6" i="1"/>
  <c r="A5" i="1"/>
  <c r="A4" i="1"/>
  <c r="A3" i="1"/>
</calcChain>
</file>

<file path=xl/sharedStrings.xml><?xml version="1.0" encoding="utf-8"?>
<sst xmlns="http://schemas.openxmlformats.org/spreadsheetml/2006/main" count="106" uniqueCount="39">
  <si>
    <t>Sr No</t>
  </si>
  <si>
    <t>Task Name</t>
  </si>
  <si>
    <t>Assigned To (Select Multiple)</t>
  </si>
  <si>
    <t>Lead</t>
  </si>
  <si>
    <t>Support 1</t>
  </si>
  <si>
    <t>Support 2</t>
  </si>
  <si>
    <t>Assigning Date</t>
  </si>
  <si>
    <t>Deadline Date</t>
  </si>
  <si>
    <t>Actual Submission</t>
  </si>
  <si>
    <t xml:space="preserve">System's Structure , UML &amp; ER Research </t>
  </si>
  <si>
    <t>Farooq</t>
  </si>
  <si>
    <t>ER Implementation</t>
  </si>
  <si>
    <t>Tehami</t>
  </si>
  <si>
    <t>Abu-Bakar</t>
  </si>
  <si>
    <t>Dawood</t>
  </si>
  <si>
    <t>UML Implementation</t>
  </si>
  <si>
    <t>Umair</t>
  </si>
  <si>
    <t xml:space="preserve">Basic DB Creation </t>
  </si>
  <si>
    <t>Creating Main class</t>
  </si>
  <si>
    <t>Creating Passenger Class and service class</t>
  </si>
  <si>
    <t>Creating Flight Class and service class</t>
  </si>
  <si>
    <t>Creating DB Connection and data loading classes</t>
  </si>
  <si>
    <t>UML updation(M3)</t>
  </si>
  <si>
    <t>ER updation(M3)</t>
  </si>
  <si>
    <t>Linked-List data structure class</t>
  </si>
  <si>
    <t>Stack data structure class</t>
  </si>
  <si>
    <t>Queue data structure class</t>
  </si>
  <si>
    <t>Hash Table data structure class</t>
  </si>
  <si>
    <t>MILESTONE # 3 IMPLEMENTATION</t>
  </si>
  <si>
    <t>Admin Conrtoller</t>
  </si>
  <si>
    <t>Main Controller</t>
  </si>
  <si>
    <t>Custom Fleet Map Data Structure</t>
  </si>
  <si>
    <t>Binary Search Tree</t>
  </si>
  <si>
    <t>Service Logic Classes (Admin , Flight , Passenger)</t>
  </si>
  <si>
    <t>Service Logic Classes (AirCraft , Booking )</t>
  </si>
  <si>
    <t>Enum Classes</t>
  </si>
  <si>
    <t xml:space="preserve">Repositary Interfaces </t>
  </si>
  <si>
    <t>UML classes (System Model)</t>
  </si>
  <si>
    <t xml:space="preserve">Front end UI/UX with spring boot handling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</si>
</sst>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2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zoomScale="85" zoomScaleNormal="85" workbookViewId="0">
      <selection activeCell="H27" sqref="H27"/>
    </sheetView>
  </sheetViews>
  <sheetFormatPr defaultRowHeight="24.95" customHeight="1" x14ac:dyDescent="0.25"/>
  <cols>
    <col min="1" max="1" width="8.75" style="1" customWidth="1"/>
    <col min="2" max="2" width="42.375" style="1" customWidth="1"/>
    <col min="3" max="5" width="15.75" style="1" customWidth="1"/>
    <col min="6" max="8" width="20.75" style="2" customWidth="1"/>
  </cols>
  <sheetData>
    <row r="1" spans="1:8" ht="24.95" customHeight="1" x14ac:dyDescent="0.25">
      <c r="A1" s="4" t="s">
        <v>0</v>
      </c>
      <c r="B1" s="4" t="s">
        <v>1</v>
      </c>
      <c r="C1" s="4" t="s">
        <v>2</v>
      </c>
      <c r="D1" s="4"/>
      <c r="E1" s="4"/>
      <c r="F1" s="4" t="s">
        <v>6</v>
      </c>
      <c r="G1" s="4" t="s">
        <v>7</v>
      </c>
      <c r="H1" s="4" t="s">
        <v>8</v>
      </c>
    </row>
    <row r="2" spans="1:8" ht="24.95" customHeight="1" x14ac:dyDescent="0.25">
      <c r="A2" s="4"/>
      <c r="B2" s="4"/>
      <c r="C2" s="3" t="s">
        <v>3</v>
      </c>
      <c r="D2" s="3" t="s">
        <v>4</v>
      </c>
      <c r="E2" s="3" t="s">
        <v>5</v>
      </c>
      <c r="F2" s="4"/>
      <c r="G2" s="4"/>
      <c r="H2" s="4"/>
    </row>
    <row r="3" spans="1:8" ht="24.95" customHeight="1" x14ac:dyDescent="0.25">
      <c r="A3" s="1">
        <f t="shared" ref="A3:A39" si="0">IF(B3&lt;&gt;"", ROW()-2, "")</f>
        <v>1</v>
      </c>
      <c r="B3" s="1" t="s">
        <v>9</v>
      </c>
      <c r="C3" s="1" t="s">
        <v>10</v>
      </c>
      <c r="D3" s="1" t="s">
        <v>10</v>
      </c>
      <c r="E3" s="1" t="s">
        <v>10</v>
      </c>
      <c r="F3" s="2">
        <v>45988</v>
      </c>
      <c r="G3" s="2">
        <f>F3+7</f>
        <v>45995</v>
      </c>
      <c r="H3" s="2">
        <v>45995</v>
      </c>
    </row>
    <row r="4" spans="1:8" ht="24.95" customHeight="1" x14ac:dyDescent="0.25">
      <c r="A4" s="1">
        <f t="shared" si="0"/>
        <v>2</v>
      </c>
      <c r="B4" s="1" t="s">
        <v>11</v>
      </c>
      <c r="C4" s="1" t="s">
        <v>10</v>
      </c>
      <c r="D4" s="1" t="s">
        <v>13</v>
      </c>
      <c r="E4" s="1" t="s">
        <v>14</v>
      </c>
      <c r="F4" s="2">
        <v>45995</v>
      </c>
      <c r="G4" s="2">
        <v>45997</v>
      </c>
      <c r="H4" s="2">
        <v>45998</v>
      </c>
    </row>
    <row r="5" spans="1:8" ht="24.95" customHeight="1" x14ac:dyDescent="0.25">
      <c r="A5" s="1">
        <f t="shared" si="0"/>
        <v>3</v>
      </c>
      <c r="B5" s="1" t="s">
        <v>15</v>
      </c>
      <c r="C5" s="1" t="s">
        <v>10</v>
      </c>
      <c r="D5" s="1" t="s">
        <v>12</v>
      </c>
      <c r="E5" s="1" t="s">
        <v>16</v>
      </c>
      <c r="F5" s="2">
        <v>45995</v>
      </c>
      <c r="G5" s="2">
        <v>45997</v>
      </c>
      <c r="H5" s="2">
        <v>45998</v>
      </c>
    </row>
    <row r="6" spans="1:8" ht="24.95" customHeight="1" x14ac:dyDescent="0.25">
      <c r="A6" s="1">
        <f t="shared" si="0"/>
        <v>4</v>
      </c>
      <c r="B6" s="1" t="s">
        <v>17</v>
      </c>
      <c r="C6" s="1" t="s">
        <v>10</v>
      </c>
      <c r="D6" s="1" t="s">
        <v>10</v>
      </c>
      <c r="E6" s="1" t="s">
        <v>10</v>
      </c>
      <c r="F6" s="2">
        <v>45998</v>
      </c>
      <c r="G6" s="2">
        <v>45998</v>
      </c>
      <c r="H6" s="2">
        <v>45998</v>
      </c>
    </row>
    <row r="7" spans="1:8" ht="24.95" customHeight="1" x14ac:dyDescent="0.25">
      <c r="A7" s="1">
        <f t="shared" si="0"/>
        <v>5</v>
      </c>
      <c r="B7" s="1" t="s">
        <v>19</v>
      </c>
      <c r="C7" s="1" t="s">
        <v>10</v>
      </c>
      <c r="D7" s="1" t="s">
        <v>12</v>
      </c>
      <c r="E7" s="1" t="s">
        <v>16</v>
      </c>
      <c r="F7" s="2">
        <v>45999</v>
      </c>
      <c r="G7" s="2">
        <v>46000</v>
      </c>
      <c r="H7" s="2">
        <v>46000</v>
      </c>
    </row>
    <row r="8" spans="1:8" ht="24.95" customHeight="1" x14ac:dyDescent="0.25">
      <c r="A8" s="1">
        <f t="shared" si="0"/>
        <v>6</v>
      </c>
      <c r="B8" s="1" t="s">
        <v>20</v>
      </c>
      <c r="C8" s="1" t="s">
        <v>10</v>
      </c>
      <c r="D8" s="1" t="s">
        <v>14</v>
      </c>
      <c r="E8" s="1" t="s">
        <v>13</v>
      </c>
      <c r="F8" s="2">
        <v>45999</v>
      </c>
      <c r="G8" s="2">
        <v>46000</v>
      </c>
      <c r="H8" s="2">
        <v>46000</v>
      </c>
    </row>
    <row r="9" spans="1:8" ht="24.95" customHeight="1" x14ac:dyDescent="0.25">
      <c r="A9" s="1">
        <f t="shared" si="0"/>
        <v>7</v>
      </c>
      <c r="B9" s="1" t="s">
        <v>18</v>
      </c>
      <c r="C9" s="1" t="s">
        <v>10</v>
      </c>
      <c r="D9" s="1" t="s">
        <v>10</v>
      </c>
      <c r="E9" s="1" t="s">
        <v>10</v>
      </c>
      <c r="F9" s="2">
        <v>46000</v>
      </c>
      <c r="G9" s="2">
        <v>46001</v>
      </c>
      <c r="H9" s="2">
        <v>46001</v>
      </c>
    </row>
    <row r="10" spans="1:8" ht="24.95" customHeight="1" x14ac:dyDescent="0.25">
      <c r="A10" s="1">
        <f t="shared" si="0"/>
        <v>8</v>
      </c>
      <c r="B10" s="1" t="s">
        <v>21</v>
      </c>
      <c r="C10" s="1" t="s">
        <v>10</v>
      </c>
      <c r="D10" s="1" t="s">
        <v>10</v>
      </c>
      <c r="E10" s="1" t="s">
        <v>10</v>
      </c>
      <c r="F10" s="2">
        <v>46000</v>
      </c>
      <c r="G10" s="2">
        <v>46001</v>
      </c>
      <c r="H10" s="2">
        <v>46001</v>
      </c>
    </row>
    <row r="11" spans="1:8" ht="24.95" customHeight="1" x14ac:dyDescent="0.25">
      <c r="A11" s="1">
        <f t="shared" si="0"/>
        <v>9</v>
      </c>
      <c r="B11" s="1" t="s">
        <v>22</v>
      </c>
      <c r="C11" s="1" t="s">
        <v>10</v>
      </c>
      <c r="D11" s="1" t="s">
        <v>12</v>
      </c>
      <c r="E11" s="1" t="s">
        <v>16</v>
      </c>
      <c r="F11" s="2">
        <v>46011</v>
      </c>
      <c r="G11" s="2">
        <v>46012</v>
      </c>
      <c r="H11" s="2">
        <v>46011</v>
      </c>
    </row>
    <row r="12" spans="1:8" ht="24.95" customHeight="1" x14ac:dyDescent="0.25">
      <c r="A12" s="1">
        <f t="shared" si="0"/>
        <v>10</v>
      </c>
      <c r="B12" s="1" t="s">
        <v>23</v>
      </c>
      <c r="C12" s="1" t="s">
        <v>10</v>
      </c>
      <c r="D12" s="1" t="s">
        <v>10</v>
      </c>
      <c r="E12" s="1" t="s">
        <v>10</v>
      </c>
      <c r="F12" s="2">
        <v>46011</v>
      </c>
      <c r="G12" s="2">
        <v>46011</v>
      </c>
      <c r="H12" s="2">
        <v>46011</v>
      </c>
    </row>
    <row r="13" spans="1:8" ht="24.95" customHeight="1" x14ac:dyDescent="0.25">
      <c r="A13" s="1">
        <f t="shared" si="0"/>
        <v>11</v>
      </c>
      <c r="B13" s="1" t="s">
        <v>28</v>
      </c>
    </row>
    <row r="14" spans="1:8" ht="24.95" customHeight="1" x14ac:dyDescent="0.25">
      <c r="A14" s="1">
        <f t="shared" si="0"/>
        <v>12</v>
      </c>
      <c r="B14" s="1" t="s">
        <v>24</v>
      </c>
      <c r="C14" s="1" t="s">
        <v>10</v>
      </c>
      <c r="D14" s="1" t="s">
        <v>10</v>
      </c>
      <c r="E14" s="1" t="s">
        <v>13</v>
      </c>
      <c r="F14" s="2">
        <v>46021</v>
      </c>
      <c r="G14" s="2">
        <f>F14+3</f>
        <v>46024</v>
      </c>
      <c r="H14" s="2">
        <v>46024</v>
      </c>
    </row>
    <row r="15" spans="1:8" ht="24.95" customHeight="1" x14ac:dyDescent="0.25">
      <c r="A15" s="1">
        <f t="shared" si="0"/>
        <v>13</v>
      </c>
      <c r="B15" s="1" t="s">
        <v>25</v>
      </c>
      <c r="C15" s="1" t="s">
        <v>10</v>
      </c>
      <c r="D15" s="1" t="s">
        <v>10</v>
      </c>
      <c r="E15" s="1" t="s">
        <v>14</v>
      </c>
      <c r="F15" s="2">
        <v>46021</v>
      </c>
      <c r="G15" s="2">
        <f>F15+3</f>
        <v>46024</v>
      </c>
      <c r="H15" s="2">
        <v>46024</v>
      </c>
    </row>
    <row r="16" spans="1:8" ht="24.95" customHeight="1" x14ac:dyDescent="0.25">
      <c r="A16" s="1">
        <f t="shared" si="0"/>
        <v>14</v>
      </c>
      <c r="B16" s="1" t="s">
        <v>26</v>
      </c>
      <c r="C16" s="1" t="s">
        <v>10</v>
      </c>
      <c r="D16" s="1" t="s">
        <v>10</v>
      </c>
      <c r="E16" s="1" t="s">
        <v>12</v>
      </c>
      <c r="F16" s="2">
        <v>46021</v>
      </c>
      <c r="G16" s="2">
        <f>F16+3</f>
        <v>46024</v>
      </c>
      <c r="H16" s="2">
        <v>46024</v>
      </c>
    </row>
    <row r="17" spans="1:8" ht="24.95" customHeight="1" x14ac:dyDescent="0.25">
      <c r="A17" s="1">
        <f t="shared" si="0"/>
        <v>15</v>
      </c>
      <c r="B17" s="1" t="s">
        <v>27</v>
      </c>
      <c r="C17" s="1" t="s">
        <v>10</v>
      </c>
      <c r="D17" s="1" t="s">
        <v>10</v>
      </c>
      <c r="E17" s="1" t="s">
        <v>16</v>
      </c>
      <c r="F17" s="2">
        <v>46021</v>
      </c>
      <c r="G17" s="2">
        <f>F17+3</f>
        <v>46024</v>
      </c>
      <c r="H17" s="2">
        <v>46024</v>
      </c>
    </row>
    <row r="18" spans="1:8" ht="24.95" customHeight="1" x14ac:dyDescent="0.25">
      <c r="A18" s="1">
        <f t="shared" si="0"/>
        <v>16</v>
      </c>
      <c r="B18" s="1" t="s">
        <v>32</v>
      </c>
      <c r="C18" s="1" t="s">
        <v>10</v>
      </c>
      <c r="D18" s="1" t="s">
        <v>16</v>
      </c>
      <c r="E18" s="1" t="s">
        <v>12</v>
      </c>
      <c r="F18" s="2">
        <v>46027</v>
      </c>
      <c r="G18" s="2">
        <f>F18+3</f>
        <v>46030</v>
      </c>
      <c r="H18" s="2">
        <v>46030</v>
      </c>
    </row>
    <row r="19" spans="1:8" ht="24.95" customHeight="1" x14ac:dyDescent="0.25">
      <c r="A19" s="1">
        <f t="shared" si="0"/>
        <v>17</v>
      </c>
      <c r="B19" s="1" t="s">
        <v>31</v>
      </c>
      <c r="C19" s="1" t="s">
        <v>10</v>
      </c>
      <c r="D19" s="1" t="s">
        <v>14</v>
      </c>
      <c r="E19" s="1" t="s">
        <v>13</v>
      </c>
      <c r="F19" s="2">
        <v>46027</v>
      </c>
      <c r="G19" s="2">
        <f>F19+3</f>
        <v>46030</v>
      </c>
      <c r="H19" s="2">
        <v>46030</v>
      </c>
    </row>
    <row r="20" spans="1:8" ht="24.95" customHeight="1" x14ac:dyDescent="0.25">
      <c r="A20" s="1">
        <f t="shared" si="0"/>
        <v>18</v>
      </c>
      <c r="B20" s="1" t="s">
        <v>29</v>
      </c>
      <c r="C20" s="1" t="s">
        <v>10</v>
      </c>
      <c r="D20" s="1" t="s">
        <v>16</v>
      </c>
      <c r="E20" s="1" t="s">
        <v>12</v>
      </c>
      <c r="F20" s="2">
        <v>46028</v>
      </c>
      <c r="G20" s="2">
        <f>F20+4</f>
        <v>46032</v>
      </c>
      <c r="H20" s="2">
        <v>46034</v>
      </c>
    </row>
    <row r="21" spans="1:8" ht="24.95" customHeight="1" x14ac:dyDescent="0.25">
      <c r="A21" s="1">
        <f t="shared" si="0"/>
        <v>19</v>
      </c>
      <c r="B21" s="1" t="s">
        <v>30</v>
      </c>
      <c r="C21" s="1" t="s">
        <v>10</v>
      </c>
      <c r="D21" s="1" t="s">
        <v>13</v>
      </c>
      <c r="E21" s="1" t="s">
        <v>14</v>
      </c>
      <c r="F21" s="2">
        <v>46028</v>
      </c>
      <c r="G21" s="2">
        <f>F21+4</f>
        <v>46032</v>
      </c>
      <c r="H21" s="2">
        <v>46034</v>
      </c>
    </row>
    <row r="22" spans="1:8" ht="24.95" customHeight="1" x14ac:dyDescent="0.25">
      <c r="A22" s="1">
        <f t="shared" si="0"/>
        <v>20</v>
      </c>
      <c r="B22" s="1" t="s">
        <v>37</v>
      </c>
      <c r="C22" s="1" t="s">
        <v>10</v>
      </c>
      <c r="D22" s="1" t="s">
        <v>16</v>
      </c>
      <c r="E22" s="1" t="s">
        <v>12</v>
      </c>
      <c r="F22" s="2">
        <v>46023</v>
      </c>
      <c r="G22" s="2">
        <f>F22+1</f>
        <v>46024</v>
      </c>
      <c r="H22" s="2">
        <v>46024</v>
      </c>
    </row>
    <row r="23" spans="1:8" ht="24.95" customHeight="1" x14ac:dyDescent="0.25">
      <c r="A23" s="1">
        <f t="shared" si="0"/>
        <v>21</v>
      </c>
      <c r="B23" s="1" t="s">
        <v>33</v>
      </c>
      <c r="C23" s="1" t="s">
        <v>10</v>
      </c>
      <c r="D23" s="1" t="s">
        <v>14</v>
      </c>
      <c r="E23" s="1" t="s">
        <v>13</v>
      </c>
      <c r="F23" s="2">
        <v>46032</v>
      </c>
      <c r="G23" s="2">
        <f>F23+3</f>
        <v>46035</v>
      </c>
      <c r="H23" s="2">
        <v>46035</v>
      </c>
    </row>
    <row r="24" spans="1:8" ht="24.95" customHeight="1" x14ac:dyDescent="0.25">
      <c r="A24" s="1">
        <f t="shared" si="0"/>
        <v>22</v>
      </c>
      <c r="B24" s="1" t="s">
        <v>34</v>
      </c>
      <c r="C24" s="1" t="s">
        <v>10</v>
      </c>
      <c r="D24" s="1" t="s">
        <v>16</v>
      </c>
      <c r="E24" s="1" t="s">
        <v>12</v>
      </c>
      <c r="F24" s="2">
        <v>46032</v>
      </c>
      <c r="G24" s="2">
        <f>F24+3</f>
        <v>46035</v>
      </c>
      <c r="H24" s="2">
        <v>46035</v>
      </c>
    </row>
    <row r="25" spans="1:8" ht="24.95" customHeight="1" x14ac:dyDescent="0.25">
      <c r="A25" s="1">
        <f t="shared" si="0"/>
        <v>23</v>
      </c>
      <c r="B25" s="1" t="s">
        <v>35</v>
      </c>
      <c r="C25" s="1" t="s">
        <v>10</v>
      </c>
      <c r="D25" s="1" t="s">
        <v>10</v>
      </c>
      <c r="E25" s="1" t="s">
        <v>10</v>
      </c>
      <c r="F25" s="2">
        <v>46019</v>
      </c>
      <c r="G25" s="2">
        <v>46019</v>
      </c>
      <c r="H25" s="2">
        <v>46019</v>
      </c>
    </row>
    <row r="26" spans="1:8" ht="24.95" customHeight="1" x14ac:dyDescent="0.25">
      <c r="A26" s="1">
        <f t="shared" si="0"/>
        <v>24</v>
      </c>
      <c r="B26" s="1" t="s">
        <v>36</v>
      </c>
      <c r="C26" s="1" t="s">
        <v>10</v>
      </c>
      <c r="D26" s="1" t="s">
        <v>10</v>
      </c>
      <c r="E26" s="1" t="s">
        <v>10</v>
      </c>
      <c r="F26" s="2">
        <v>46019</v>
      </c>
      <c r="G26" s="2">
        <v>46019</v>
      </c>
      <c r="H26" s="2">
        <v>46019</v>
      </c>
    </row>
    <row r="27" spans="1:8" ht="24.95" customHeight="1" x14ac:dyDescent="0.25">
      <c r="A27" s="1">
        <f t="shared" si="0"/>
        <v>25</v>
      </c>
      <c r="B27" s="1" t="s">
        <v>38</v>
      </c>
      <c r="C27" s="1" t="s">
        <v>10</v>
      </c>
      <c r="D27" s="1" t="s">
        <v>10</v>
      </c>
      <c r="E27" s="1" t="s">
        <v>10</v>
      </c>
      <c r="F27" s="2">
        <v>46010</v>
      </c>
      <c r="G27" s="2">
        <v>46041</v>
      </c>
      <c r="H27" s="2">
        <v>46041</v>
      </c>
    </row>
    <row r="28" spans="1:8" ht="24.95" customHeight="1" x14ac:dyDescent="0.25">
      <c r="A28" s="1" t="str">
        <f t="shared" si="0"/>
        <v/>
      </c>
    </row>
    <row r="29" spans="1:8" ht="24.95" customHeight="1" x14ac:dyDescent="0.25">
      <c r="A29" s="1" t="str">
        <f t="shared" si="0"/>
        <v/>
      </c>
    </row>
    <row r="30" spans="1:8" ht="24.95" customHeight="1" x14ac:dyDescent="0.25">
      <c r="A30" s="1" t="str">
        <f t="shared" si="0"/>
        <v/>
      </c>
    </row>
    <row r="31" spans="1:8" ht="24.95" customHeight="1" x14ac:dyDescent="0.25">
      <c r="A31" s="1" t="str">
        <f t="shared" si="0"/>
        <v/>
      </c>
    </row>
    <row r="32" spans="1:8" ht="24.95" customHeight="1" x14ac:dyDescent="0.25">
      <c r="A32" s="1" t="str">
        <f t="shared" si="0"/>
        <v/>
      </c>
    </row>
    <row r="33" spans="1:1" ht="24.95" customHeight="1" x14ac:dyDescent="0.25">
      <c r="A33" s="1" t="str">
        <f t="shared" si="0"/>
        <v/>
      </c>
    </row>
    <row r="34" spans="1:1" ht="24.95" customHeight="1" x14ac:dyDescent="0.25">
      <c r="A34" s="1" t="str">
        <f t="shared" si="0"/>
        <v/>
      </c>
    </row>
    <row r="35" spans="1:1" ht="24.95" customHeight="1" x14ac:dyDescent="0.25">
      <c r="A35" s="1" t="str">
        <f t="shared" si="0"/>
        <v/>
      </c>
    </row>
    <row r="36" spans="1:1" ht="24.95" customHeight="1" x14ac:dyDescent="0.25">
      <c r="A36" s="1" t="str">
        <f t="shared" si="0"/>
        <v/>
      </c>
    </row>
    <row r="37" spans="1:1" ht="24.95" customHeight="1" x14ac:dyDescent="0.25">
      <c r="A37" s="1" t="str">
        <f t="shared" si="0"/>
        <v/>
      </c>
    </row>
    <row r="38" spans="1:1" ht="24.95" customHeight="1" x14ac:dyDescent="0.25">
      <c r="A38" s="1" t="str">
        <f t="shared" si="0"/>
        <v/>
      </c>
    </row>
    <row r="39" spans="1:1" ht="24.95" customHeight="1" x14ac:dyDescent="0.25">
      <c r="A39" s="1" t="str">
        <f t="shared" si="0"/>
        <v/>
      </c>
    </row>
    <row r="40" spans="1:1" ht="24.95" customHeight="1" x14ac:dyDescent="0.25">
      <c r="A40" s="1" t="str">
        <f t="shared" ref="A40:A71" si="1">IF(B40&lt;&gt;"", ROW()-2, "")</f>
        <v/>
      </c>
    </row>
    <row r="41" spans="1:1" ht="24.95" customHeight="1" x14ac:dyDescent="0.25">
      <c r="A41" s="1" t="str">
        <f t="shared" si="1"/>
        <v/>
      </c>
    </row>
    <row r="42" spans="1:1" ht="24.95" customHeight="1" x14ac:dyDescent="0.25">
      <c r="A42" s="1" t="str">
        <f t="shared" si="1"/>
        <v/>
      </c>
    </row>
    <row r="43" spans="1:1" ht="24.95" customHeight="1" x14ac:dyDescent="0.25">
      <c r="A43" s="1" t="str">
        <f t="shared" si="1"/>
        <v/>
      </c>
    </row>
    <row r="44" spans="1:1" ht="24.95" customHeight="1" x14ac:dyDescent="0.25">
      <c r="A44" s="1" t="str">
        <f t="shared" si="1"/>
        <v/>
      </c>
    </row>
    <row r="45" spans="1:1" ht="24.95" customHeight="1" x14ac:dyDescent="0.25">
      <c r="A45" s="1" t="str">
        <f t="shared" si="1"/>
        <v/>
      </c>
    </row>
    <row r="46" spans="1:1" ht="24.95" customHeight="1" x14ac:dyDescent="0.25">
      <c r="A46" s="1" t="str">
        <f t="shared" si="1"/>
        <v/>
      </c>
    </row>
    <row r="47" spans="1:1" ht="24.95" customHeight="1" x14ac:dyDescent="0.25">
      <c r="A47" s="1" t="str">
        <f t="shared" si="1"/>
        <v/>
      </c>
    </row>
    <row r="48" spans="1:1" ht="24.95" customHeight="1" x14ac:dyDescent="0.25">
      <c r="A48" s="1" t="str">
        <f t="shared" si="1"/>
        <v/>
      </c>
    </row>
    <row r="49" spans="1:1" ht="24.95" customHeight="1" x14ac:dyDescent="0.25">
      <c r="A49" s="1" t="str">
        <f t="shared" si="1"/>
        <v/>
      </c>
    </row>
    <row r="50" spans="1:1" ht="24.95" customHeight="1" x14ac:dyDescent="0.25">
      <c r="A50" s="1" t="str">
        <f t="shared" si="1"/>
        <v/>
      </c>
    </row>
    <row r="51" spans="1:1" ht="24.95" customHeight="1" x14ac:dyDescent="0.25">
      <c r="A51" s="1" t="str">
        <f t="shared" si="1"/>
        <v/>
      </c>
    </row>
    <row r="52" spans="1:1" ht="24.95" customHeight="1" x14ac:dyDescent="0.25">
      <c r="A52" s="1" t="str">
        <f t="shared" si="1"/>
        <v/>
      </c>
    </row>
    <row r="53" spans="1:1" ht="24.95" customHeight="1" x14ac:dyDescent="0.25">
      <c r="A53" s="1" t="str">
        <f t="shared" si="1"/>
        <v/>
      </c>
    </row>
    <row r="54" spans="1:1" ht="24.95" customHeight="1" x14ac:dyDescent="0.25">
      <c r="A54" s="1" t="str">
        <f t="shared" si="1"/>
        <v/>
      </c>
    </row>
    <row r="55" spans="1:1" ht="24.95" customHeight="1" x14ac:dyDescent="0.25">
      <c r="A55" s="1" t="str">
        <f t="shared" si="1"/>
        <v/>
      </c>
    </row>
    <row r="56" spans="1:1" ht="24.95" customHeight="1" x14ac:dyDescent="0.25">
      <c r="A56" s="1" t="str">
        <f t="shared" si="1"/>
        <v/>
      </c>
    </row>
    <row r="57" spans="1:1" ht="24.95" customHeight="1" x14ac:dyDescent="0.25">
      <c r="A57" s="1" t="str">
        <f t="shared" si="1"/>
        <v/>
      </c>
    </row>
    <row r="58" spans="1:1" ht="24.95" customHeight="1" x14ac:dyDescent="0.25">
      <c r="A58" s="1" t="str">
        <f t="shared" si="1"/>
        <v/>
      </c>
    </row>
    <row r="59" spans="1:1" ht="24.95" customHeight="1" x14ac:dyDescent="0.25">
      <c r="A59" s="1" t="str">
        <f t="shared" si="1"/>
        <v/>
      </c>
    </row>
    <row r="60" spans="1:1" ht="24.95" customHeight="1" x14ac:dyDescent="0.25">
      <c r="A60" s="1" t="str">
        <f t="shared" si="1"/>
        <v/>
      </c>
    </row>
    <row r="61" spans="1:1" ht="24.95" customHeight="1" x14ac:dyDescent="0.25">
      <c r="A61" s="1" t="str">
        <f t="shared" si="1"/>
        <v/>
      </c>
    </row>
    <row r="62" spans="1:1" ht="24.95" customHeight="1" x14ac:dyDescent="0.25">
      <c r="A62" s="1" t="str">
        <f t="shared" si="1"/>
        <v/>
      </c>
    </row>
    <row r="63" spans="1:1" ht="24.95" customHeight="1" x14ac:dyDescent="0.25">
      <c r="A63" s="1" t="str">
        <f t="shared" si="1"/>
        <v/>
      </c>
    </row>
    <row r="64" spans="1:1" ht="24.95" customHeight="1" x14ac:dyDescent="0.25">
      <c r="A64" s="1" t="str">
        <f t="shared" si="1"/>
        <v/>
      </c>
    </row>
    <row r="65" spans="1:1" ht="24.95" customHeight="1" x14ac:dyDescent="0.25">
      <c r="A65" s="1" t="str">
        <f t="shared" si="1"/>
        <v/>
      </c>
    </row>
    <row r="66" spans="1:1" ht="24.95" customHeight="1" x14ac:dyDescent="0.25">
      <c r="A66" s="1" t="str">
        <f t="shared" si="1"/>
        <v/>
      </c>
    </row>
    <row r="67" spans="1:1" ht="24.95" customHeight="1" x14ac:dyDescent="0.25">
      <c r="A67" s="1" t="str">
        <f t="shared" si="1"/>
        <v/>
      </c>
    </row>
    <row r="68" spans="1:1" ht="24.95" customHeight="1" x14ac:dyDescent="0.25">
      <c r="A68" s="1" t="str">
        <f t="shared" si="1"/>
        <v/>
      </c>
    </row>
    <row r="69" spans="1:1" ht="24.95" customHeight="1" x14ac:dyDescent="0.25">
      <c r="A69" s="1" t="str">
        <f t="shared" si="1"/>
        <v/>
      </c>
    </row>
    <row r="70" spans="1:1" ht="24.95" customHeight="1" x14ac:dyDescent="0.25">
      <c r="A70" s="1" t="str">
        <f t="shared" si="1"/>
        <v/>
      </c>
    </row>
    <row r="71" spans="1:1" ht="24.95" customHeight="1" x14ac:dyDescent="0.25">
      <c r="A71" s="1" t="str">
        <f t="shared" si="1"/>
        <v/>
      </c>
    </row>
    <row r="72" spans="1:1" ht="24.95" customHeight="1" x14ac:dyDescent="0.25">
      <c r="A72" s="1" t="str">
        <f t="shared" ref="A72:A103" si="2">IF(B72&lt;&gt;"", ROW()-2, "")</f>
        <v/>
      </c>
    </row>
    <row r="73" spans="1:1" ht="24.95" customHeight="1" x14ac:dyDescent="0.25">
      <c r="A73" s="1" t="str">
        <f t="shared" si="2"/>
        <v/>
      </c>
    </row>
    <row r="74" spans="1:1" ht="24.95" customHeight="1" x14ac:dyDescent="0.25">
      <c r="A74" s="1" t="str">
        <f t="shared" si="2"/>
        <v/>
      </c>
    </row>
    <row r="75" spans="1:1" ht="24.95" customHeight="1" x14ac:dyDescent="0.25">
      <c r="A75" s="1" t="str">
        <f t="shared" si="2"/>
        <v/>
      </c>
    </row>
    <row r="76" spans="1:1" ht="24.95" customHeight="1" x14ac:dyDescent="0.25">
      <c r="A76" s="1" t="str">
        <f t="shared" si="2"/>
        <v/>
      </c>
    </row>
    <row r="77" spans="1:1" ht="24.95" customHeight="1" x14ac:dyDescent="0.25">
      <c r="A77" s="1" t="str">
        <f t="shared" si="2"/>
        <v/>
      </c>
    </row>
    <row r="78" spans="1:1" ht="24.95" customHeight="1" x14ac:dyDescent="0.25">
      <c r="A78" s="1" t="str">
        <f t="shared" si="2"/>
        <v/>
      </c>
    </row>
    <row r="79" spans="1:1" ht="24.95" customHeight="1" x14ac:dyDescent="0.25">
      <c r="A79" s="1" t="str">
        <f t="shared" si="2"/>
        <v/>
      </c>
    </row>
    <row r="80" spans="1:1" ht="24.95" customHeight="1" x14ac:dyDescent="0.25">
      <c r="A80" s="1" t="str">
        <f t="shared" si="2"/>
        <v/>
      </c>
    </row>
    <row r="81" spans="1:1" ht="24.95" customHeight="1" x14ac:dyDescent="0.25">
      <c r="A81" s="1" t="str">
        <f t="shared" si="2"/>
        <v/>
      </c>
    </row>
    <row r="82" spans="1:1" ht="24.95" customHeight="1" x14ac:dyDescent="0.25">
      <c r="A82" s="1" t="str">
        <f t="shared" si="2"/>
        <v/>
      </c>
    </row>
    <row r="83" spans="1:1" ht="24.95" customHeight="1" x14ac:dyDescent="0.25">
      <c r="A83" s="1" t="str">
        <f t="shared" si="2"/>
        <v/>
      </c>
    </row>
    <row r="84" spans="1:1" ht="24.95" customHeight="1" x14ac:dyDescent="0.25">
      <c r="A84" s="1" t="str">
        <f t="shared" si="2"/>
        <v/>
      </c>
    </row>
    <row r="85" spans="1:1" ht="24.95" customHeight="1" x14ac:dyDescent="0.25">
      <c r="A85" s="1" t="str">
        <f t="shared" si="2"/>
        <v/>
      </c>
    </row>
    <row r="86" spans="1:1" ht="24.95" customHeight="1" x14ac:dyDescent="0.25">
      <c r="A86" s="1" t="str">
        <f t="shared" si="2"/>
        <v/>
      </c>
    </row>
    <row r="87" spans="1:1" ht="24.95" customHeight="1" x14ac:dyDescent="0.25">
      <c r="A87" s="1" t="str">
        <f t="shared" si="2"/>
        <v/>
      </c>
    </row>
    <row r="88" spans="1:1" ht="24.95" customHeight="1" x14ac:dyDescent="0.25">
      <c r="A88" s="1" t="str">
        <f t="shared" si="2"/>
        <v/>
      </c>
    </row>
    <row r="89" spans="1:1" ht="24.95" customHeight="1" x14ac:dyDescent="0.25">
      <c r="A89" s="1" t="str">
        <f t="shared" si="2"/>
        <v/>
      </c>
    </row>
    <row r="90" spans="1:1" ht="24.95" customHeight="1" x14ac:dyDescent="0.25">
      <c r="A90" s="1" t="str">
        <f t="shared" si="2"/>
        <v/>
      </c>
    </row>
    <row r="91" spans="1:1" ht="24.95" customHeight="1" x14ac:dyDescent="0.25">
      <c r="A91" s="1" t="str">
        <f t="shared" si="2"/>
        <v/>
      </c>
    </row>
    <row r="92" spans="1:1" ht="24.95" customHeight="1" x14ac:dyDescent="0.25">
      <c r="A92" s="1" t="str">
        <f t="shared" si="2"/>
        <v/>
      </c>
    </row>
    <row r="93" spans="1:1" ht="24.95" customHeight="1" x14ac:dyDescent="0.25">
      <c r="A93" s="1" t="str">
        <f t="shared" si="2"/>
        <v/>
      </c>
    </row>
    <row r="94" spans="1:1" ht="24.95" customHeight="1" x14ac:dyDescent="0.25">
      <c r="A94" s="1" t="str">
        <f t="shared" si="2"/>
        <v/>
      </c>
    </row>
    <row r="95" spans="1:1" ht="24.95" customHeight="1" x14ac:dyDescent="0.25">
      <c r="A95" s="1" t="str">
        <f t="shared" si="2"/>
        <v/>
      </c>
    </row>
    <row r="96" spans="1:1" ht="24.95" customHeight="1" x14ac:dyDescent="0.25">
      <c r="A96" s="1" t="str">
        <f t="shared" si="2"/>
        <v/>
      </c>
    </row>
    <row r="97" spans="1:1" ht="24.95" customHeight="1" x14ac:dyDescent="0.25">
      <c r="A97" s="1" t="str">
        <f t="shared" si="2"/>
        <v/>
      </c>
    </row>
    <row r="98" spans="1:1" ht="24.95" customHeight="1" x14ac:dyDescent="0.25">
      <c r="A98" s="1" t="str">
        <f t="shared" si="2"/>
        <v/>
      </c>
    </row>
    <row r="99" spans="1:1" ht="24.95" customHeight="1" x14ac:dyDescent="0.25">
      <c r="A99" s="1" t="str">
        <f t="shared" si="2"/>
        <v/>
      </c>
    </row>
    <row r="100" spans="1:1" ht="24.95" customHeight="1" x14ac:dyDescent="0.25">
      <c r="A100" s="1" t="str">
        <f t="shared" si="2"/>
        <v/>
      </c>
    </row>
    <row r="101" spans="1:1" ht="24.95" customHeight="1" x14ac:dyDescent="0.25">
      <c r="A101" s="1" t="str">
        <f t="shared" si="2"/>
        <v/>
      </c>
    </row>
    <row r="102" spans="1:1" ht="24.95" customHeight="1" x14ac:dyDescent="0.25">
      <c r="A102" s="1" t="str">
        <f t="shared" si="2"/>
        <v/>
      </c>
    </row>
    <row r="103" spans="1:1" ht="24.95" customHeight="1" x14ac:dyDescent="0.25">
      <c r="A103" s="1" t="str">
        <f t="shared" si="2"/>
        <v/>
      </c>
    </row>
    <row r="104" spans="1:1" ht="24.95" customHeight="1" x14ac:dyDescent="0.25">
      <c r="A104" s="1" t="str">
        <f t="shared" ref="A104:A106" si="3">IF(B104&lt;&gt;"", ROW()-2, "")</f>
        <v/>
      </c>
    </row>
    <row r="105" spans="1:1" ht="24.95" customHeight="1" x14ac:dyDescent="0.25">
      <c r="A105" s="1" t="str">
        <f t="shared" si="3"/>
        <v/>
      </c>
    </row>
    <row r="106" spans="1:1" ht="24.95" customHeight="1" x14ac:dyDescent="0.25">
      <c r="A106" s="1" t="str">
        <f t="shared" si="3"/>
        <v/>
      </c>
    </row>
  </sheetData>
  <mergeCells count="6">
    <mergeCell ref="H1:H2"/>
    <mergeCell ref="A1:A2"/>
    <mergeCell ref="B1:B2"/>
    <mergeCell ref="C1:E1"/>
    <mergeCell ref="F1:F2"/>
    <mergeCell ref="G1:G2"/>
  </mergeCells>
  <conditionalFormatting sqref="A3 C3:H3 A4:H105">
    <cfRule type="expression" dxfId="1" priority="3">
      <formula>AND($H3&lt;&gt;"", $H3&gt;$G3)</formula>
    </cfRule>
    <cfRule type="expression" dxfId="0" priority="4">
      <formula>AND($H3&lt;&gt;"", $H3&lt;=$G3)</formula>
    </cfRule>
  </conditionalFormatting>
  <conditionalFormatting sqref="B3">
    <cfRule type="expression" dxfId="3" priority="1">
      <formula>AND($F3&lt;&gt;"", $F3&gt;$E3)</formula>
    </cfRule>
    <cfRule type="expression" dxfId="2" priority="2">
      <formula>AND($F3&lt;&gt;"", $F3&lt;=$E3)</formula>
    </cfRule>
  </conditionalFormatting>
  <dataValidations count="2">
    <dataValidation type="list" allowBlank="1" showInputMessage="1" showErrorMessage="1" promptTitle="Select Member" prompt="Pick from list" sqref="C3:E106" xr:uid="{00000000-0002-0000-0000-000000000000}">
      <formula1>"Dawood,Farooq,Tehami,Abu-Bakar,Umair"</formula1>
    </dataValidation>
    <dataValidation type="date" operator="greaterThanOrEqual" allowBlank="1" showInputMessage="1" showErrorMessage="1" sqref="F3:H106" xr:uid="{00000000-0002-0000-0000-000001000000}">
      <formula1>1/1/2024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Farooq</cp:lastModifiedBy>
  <dcterms:created xsi:type="dcterms:W3CDTF">2025-12-16T14:04:37Z</dcterms:created>
  <dcterms:modified xsi:type="dcterms:W3CDTF">2026-01-20T17:47:35Z</dcterms:modified>
</cp:coreProperties>
</file>